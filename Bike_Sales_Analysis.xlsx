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C3BE3D7-5767-439A-B90B-0F2E2436BE0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6"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6" l="1"/>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2" i="6"/>
</calcChain>
</file>

<file path=xl/sharedStrings.xml><?xml version="1.0" encoding="utf-8"?>
<sst xmlns="http://schemas.openxmlformats.org/spreadsheetml/2006/main" count="16263" uniqueCount="47">
  <si>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</si>
  <si>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</si>
  <si>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</si>
  <si>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</si>
  <si>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</si>
  <si>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</si>
  <si>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</si>
  <si>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</si>
  <si>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</si>
  <si>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</si>
  <si>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</si>
  <si>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</si>
  <si>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</si>
  <si>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</si>
  <si>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</si>
  <si>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</si>
  <si>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</si>
  <si>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</si>
  <si>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</si>
  <si>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</si>
  <si>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</si>
  <si>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</si>
  <si>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</si>
  <si>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</si>
  <si>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</si>
  <si>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</si>
  <si>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</si>
  <si>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</si>
  <si>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</si>
  <si>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</si>
  <si>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</si>
  <si>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</si>
  <si>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</si>
  <si>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</si>
  <si>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</si>
  <si>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</si>
  <si>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</si>
  <si>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</si>
  <si>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</si>
  <si>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</si>
  <si>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</si>
  <si>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Grand Total</t>
  </si>
  <si>
    <t>Average of Income</t>
  </si>
  <si>
    <t>Count of Purchased Bike</t>
  </si>
  <si>
    <t>More than 10 Miles</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</si>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</sst>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166"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65714.28571428571</c:v>
                </c:pt>
                <c:pt idx="1">
                  <c:v>64000</c:v>
                </c:pt>
              </c:numCache>
            </c:numRef>
          </c:val>
          <c:extLst>
            <c:ext xmlns:c16="http://schemas.microsoft.com/office/drawing/2014/chart" uri="{C3380CC4-5D6E-409C-BE32-E72D297353CC}">
              <c16:uniqueId val="{00000000-9613-4791-A325-90B5A6B7A3E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65000</c:v>
                </c:pt>
                <c:pt idx="1">
                  <c:v>71000</c:v>
                </c:pt>
              </c:numCache>
            </c:numRef>
          </c:val>
          <c:extLst>
            <c:ext xmlns:c16="http://schemas.microsoft.com/office/drawing/2014/chart" uri="{C3380CC4-5D6E-409C-BE32-E72D297353CC}">
              <c16:uniqueId val="{00000001-9664-4314-A82B-44378171341B}"/>
            </c:ext>
          </c:extLst>
        </c:ser>
        <c:dLbls>
          <c:showLegendKey val="0"/>
          <c:showVal val="0"/>
          <c:showCatName val="0"/>
          <c:showSerName val="0"/>
          <c:showPercent val="0"/>
          <c:showBubbleSize val="0"/>
        </c:dLbls>
        <c:gapWidth val="219"/>
        <c:overlap val="-27"/>
        <c:axId val="1370253519"/>
        <c:axId val="875242671"/>
      </c:barChart>
      <c:catAx>
        <c:axId val="137025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242671"/>
        <c:crosses val="autoZero"/>
        <c:auto val="1"/>
        <c:lblAlgn val="ctr"/>
        <c:lblOffset val="100"/>
        <c:noMultiLvlLbl val="0"/>
      </c:catAx>
      <c:valAx>
        <c:axId val="875242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253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Table'!$A$22:$A$25</c:f>
              <c:strCache>
                <c:ptCount val="3"/>
                <c:pt idx="0">
                  <c:v>0-1 Miles</c:v>
                </c:pt>
                <c:pt idx="1">
                  <c:v>2-5 Miles</c:v>
                </c:pt>
                <c:pt idx="2">
                  <c:v>More than 10 Miles</c:v>
                </c:pt>
              </c:strCache>
            </c:strRef>
          </c:cat>
          <c:val>
            <c:numRef>
              <c:f>'Pivot Table'!$B$22:$B$25</c:f>
              <c:numCache>
                <c:formatCode>General</c:formatCode>
                <c:ptCount val="3"/>
                <c:pt idx="0">
                  <c:v>7</c:v>
                </c:pt>
                <c:pt idx="1">
                  <c:v>3</c:v>
                </c:pt>
                <c:pt idx="2">
                  <c:v>2</c:v>
                </c:pt>
              </c:numCache>
            </c:numRef>
          </c:val>
          <c:smooth val="0"/>
          <c:extLst>
            <c:ext xmlns:c16="http://schemas.microsoft.com/office/drawing/2014/chart" uri="{C3380CC4-5D6E-409C-BE32-E72D297353CC}">
              <c16:uniqueId val="{00000000-C9E8-4490-8125-DD5749ABE50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Table'!$A$22:$A$25</c:f>
              <c:strCache>
                <c:ptCount val="3"/>
                <c:pt idx="0">
                  <c:v>0-1 Miles</c:v>
                </c:pt>
                <c:pt idx="1">
                  <c:v>2-5 Miles</c:v>
                </c:pt>
                <c:pt idx="2">
                  <c:v>More than 10 Miles</c:v>
                </c:pt>
              </c:strCache>
            </c:strRef>
          </c:cat>
          <c:val>
            <c:numRef>
              <c:f>'Pivot Table'!$C$22:$C$25</c:f>
              <c:numCache>
                <c:formatCode>General</c:formatCode>
                <c:ptCount val="3"/>
                <c:pt idx="0">
                  <c:v>9</c:v>
                </c:pt>
                <c:pt idx="1">
                  <c:v>11</c:v>
                </c:pt>
              </c:numCache>
            </c:numRef>
          </c:val>
          <c:smooth val="0"/>
          <c:extLst>
            <c:ext xmlns:c16="http://schemas.microsoft.com/office/drawing/2014/chart" uri="{C3380CC4-5D6E-409C-BE32-E72D297353CC}">
              <c16:uniqueId val="{00000001-83B4-42A9-B744-8BC43C35CF39}"/>
            </c:ext>
          </c:extLst>
        </c:ser>
        <c:dLbls>
          <c:showLegendKey val="0"/>
          <c:showVal val="0"/>
          <c:showCatName val="0"/>
          <c:showSerName val="0"/>
          <c:showPercent val="0"/>
          <c:showBubbleSize val="0"/>
        </c:dLbls>
        <c:smooth val="0"/>
        <c:axId val="589272767"/>
        <c:axId val="1628598159"/>
      </c:lineChart>
      <c:catAx>
        <c:axId val="589272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598159"/>
        <c:crosses val="autoZero"/>
        <c:auto val="1"/>
        <c:lblAlgn val="ctr"/>
        <c:lblOffset val="100"/>
        <c:noMultiLvlLbl val="0"/>
      </c:catAx>
      <c:valAx>
        <c:axId val="162859815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Table'!$A$39:$A$40</c:f>
              <c:strCache>
                <c:ptCount val="1"/>
                <c:pt idx="0">
                  <c:v>Middle Age</c:v>
                </c:pt>
              </c:strCache>
            </c:strRef>
          </c:cat>
          <c:val>
            <c:numRef>
              <c:f>'Pivot Table'!$B$39:$B$40</c:f>
              <c:numCache>
                <c:formatCode>General</c:formatCode>
                <c:ptCount val="1"/>
                <c:pt idx="0">
                  <c:v>12</c:v>
                </c:pt>
              </c:numCache>
            </c:numRef>
          </c:val>
          <c:smooth val="0"/>
          <c:extLst>
            <c:ext xmlns:c16="http://schemas.microsoft.com/office/drawing/2014/chart" uri="{C3380CC4-5D6E-409C-BE32-E72D297353CC}">
              <c16:uniqueId val="{00000000-82F0-48BA-B64D-62292F31A731}"/>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Table'!$A$39:$A$40</c:f>
              <c:strCache>
                <c:ptCount val="1"/>
                <c:pt idx="0">
                  <c:v>Middle Age</c:v>
                </c:pt>
              </c:strCache>
            </c:strRef>
          </c:cat>
          <c:val>
            <c:numRef>
              <c:f>'Pivot Table'!$C$39:$C$40</c:f>
              <c:numCache>
                <c:formatCode>General</c:formatCode>
                <c:ptCount val="1"/>
                <c:pt idx="0">
                  <c:v>20</c:v>
                </c:pt>
              </c:numCache>
            </c:numRef>
          </c:val>
          <c:smooth val="0"/>
          <c:extLst>
            <c:ext xmlns:c16="http://schemas.microsoft.com/office/drawing/2014/chart" uri="{C3380CC4-5D6E-409C-BE32-E72D297353CC}">
              <c16:uniqueId val="{00000001-C5E5-48EA-9100-420454AC3BE2}"/>
            </c:ext>
          </c:extLst>
        </c:ser>
        <c:dLbls>
          <c:showLegendKey val="0"/>
          <c:showVal val="0"/>
          <c:showCatName val="0"/>
          <c:showSerName val="0"/>
          <c:showPercent val="0"/>
          <c:showBubbleSize val="0"/>
        </c:dLbls>
        <c:marker val="1"/>
        <c:smooth val="0"/>
        <c:axId val="53340608"/>
        <c:axId val="991220400"/>
      </c:lineChart>
      <c:catAx>
        <c:axId val="533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220400"/>
        <c:crosses val="autoZero"/>
        <c:auto val="1"/>
        <c:lblAlgn val="ctr"/>
        <c:lblOffset val="100"/>
        <c:noMultiLvlLbl val="0"/>
      </c:catAx>
      <c:valAx>
        <c:axId val="99122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65714.28571428571</c:v>
                </c:pt>
                <c:pt idx="1">
                  <c:v>64000</c:v>
                </c:pt>
              </c:numCache>
            </c:numRef>
          </c:val>
          <c:extLst>
            <c:ext xmlns:c16="http://schemas.microsoft.com/office/drawing/2014/chart" uri="{C3380CC4-5D6E-409C-BE32-E72D297353CC}">
              <c16:uniqueId val="{00000000-20DD-4D1E-8013-4064BC28DC1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65000</c:v>
                </c:pt>
                <c:pt idx="1">
                  <c:v>71000</c:v>
                </c:pt>
              </c:numCache>
            </c:numRef>
          </c:val>
          <c:extLst>
            <c:ext xmlns:c16="http://schemas.microsoft.com/office/drawing/2014/chart" uri="{C3380CC4-5D6E-409C-BE32-E72D297353CC}">
              <c16:uniqueId val="{00000002-0902-415A-9D6A-75CC9D8C6554}"/>
            </c:ext>
          </c:extLst>
        </c:ser>
        <c:dLbls>
          <c:showLegendKey val="0"/>
          <c:showVal val="0"/>
          <c:showCatName val="0"/>
          <c:showSerName val="0"/>
          <c:showPercent val="0"/>
          <c:showBubbleSize val="0"/>
        </c:dLbls>
        <c:gapWidth val="219"/>
        <c:overlap val="-27"/>
        <c:axId val="1370253519"/>
        <c:axId val="875242671"/>
      </c:barChart>
      <c:catAx>
        <c:axId val="137025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242671"/>
        <c:crosses val="autoZero"/>
        <c:auto val="1"/>
        <c:lblAlgn val="ctr"/>
        <c:lblOffset val="100"/>
        <c:noMultiLvlLbl val="0"/>
      </c:catAx>
      <c:valAx>
        <c:axId val="875242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253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Table'!$A$22:$A$25</c:f>
              <c:strCache>
                <c:ptCount val="3"/>
                <c:pt idx="0">
                  <c:v>0-1 Miles</c:v>
                </c:pt>
                <c:pt idx="1">
                  <c:v>2-5 Miles</c:v>
                </c:pt>
                <c:pt idx="2">
                  <c:v>More than 10 Miles</c:v>
                </c:pt>
              </c:strCache>
            </c:strRef>
          </c:cat>
          <c:val>
            <c:numRef>
              <c:f>'Pivot Table'!$B$22:$B$25</c:f>
              <c:numCache>
                <c:formatCode>General</c:formatCode>
                <c:ptCount val="3"/>
                <c:pt idx="0">
                  <c:v>7</c:v>
                </c:pt>
                <c:pt idx="1">
                  <c:v>3</c:v>
                </c:pt>
                <c:pt idx="2">
                  <c:v>2</c:v>
                </c:pt>
              </c:numCache>
            </c:numRef>
          </c:val>
          <c:smooth val="0"/>
          <c:extLst>
            <c:ext xmlns:c16="http://schemas.microsoft.com/office/drawing/2014/chart" uri="{C3380CC4-5D6E-409C-BE32-E72D297353CC}">
              <c16:uniqueId val="{00000000-06FA-490D-A074-E0AC3C86A49A}"/>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Table'!$A$22:$A$25</c:f>
              <c:strCache>
                <c:ptCount val="3"/>
                <c:pt idx="0">
                  <c:v>0-1 Miles</c:v>
                </c:pt>
                <c:pt idx="1">
                  <c:v>2-5 Miles</c:v>
                </c:pt>
                <c:pt idx="2">
                  <c:v>More than 10 Miles</c:v>
                </c:pt>
              </c:strCache>
            </c:strRef>
          </c:cat>
          <c:val>
            <c:numRef>
              <c:f>'Pivot Table'!$C$22:$C$25</c:f>
              <c:numCache>
                <c:formatCode>General</c:formatCode>
                <c:ptCount val="3"/>
                <c:pt idx="0">
                  <c:v>9</c:v>
                </c:pt>
                <c:pt idx="1">
                  <c:v>11</c:v>
                </c:pt>
              </c:numCache>
            </c:numRef>
          </c:val>
          <c:smooth val="0"/>
          <c:extLst>
            <c:ext xmlns:c16="http://schemas.microsoft.com/office/drawing/2014/chart" uri="{C3380CC4-5D6E-409C-BE32-E72D297353CC}">
              <c16:uniqueId val="{00000002-C6F7-445D-94C9-FC7F8B0E8D6A}"/>
            </c:ext>
          </c:extLst>
        </c:ser>
        <c:dLbls>
          <c:showLegendKey val="0"/>
          <c:showVal val="0"/>
          <c:showCatName val="0"/>
          <c:showSerName val="0"/>
          <c:showPercent val="0"/>
          <c:showBubbleSize val="0"/>
        </c:dLbls>
        <c:marker val="1"/>
        <c:smooth val="0"/>
        <c:axId val="589272767"/>
        <c:axId val="1628598159"/>
      </c:lineChart>
      <c:catAx>
        <c:axId val="5892727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8598159"/>
        <c:crosses val="autoZero"/>
        <c:auto val="1"/>
        <c:lblAlgn val="ctr"/>
        <c:lblOffset val="100"/>
        <c:noMultiLvlLbl val="0"/>
      </c:catAx>
      <c:valAx>
        <c:axId val="1628598159"/>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92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Table'!$A$39:$A$40</c:f>
              <c:strCache>
                <c:ptCount val="1"/>
                <c:pt idx="0">
                  <c:v>Middle Age</c:v>
                </c:pt>
              </c:strCache>
            </c:strRef>
          </c:cat>
          <c:val>
            <c:numRef>
              <c:f>'Pivot Table'!$B$39:$B$40</c:f>
              <c:numCache>
                <c:formatCode>General</c:formatCode>
                <c:ptCount val="1"/>
                <c:pt idx="0">
                  <c:v>12</c:v>
                </c:pt>
              </c:numCache>
            </c:numRef>
          </c:val>
          <c:smooth val="0"/>
          <c:extLst>
            <c:ext xmlns:c16="http://schemas.microsoft.com/office/drawing/2014/chart" uri="{C3380CC4-5D6E-409C-BE32-E72D297353CC}">
              <c16:uniqueId val="{00000000-1457-48E7-8B4A-08E1CCEE83BC}"/>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Table'!$A$39:$A$40</c:f>
              <c:strCache>
                <c:ptCount val="1"/>
                <c:pt idx="0">
                  <c:v>Middle Age</c:v>
                </c:pt>
              </c:strCache>
            </c:strRef>
          </c:cat>
          <c:val>
            <c:numRef>
              <c:f>'Pivot Table'!$C$39:$C$40</c:f>
              <c:numCache>
                <c:formatCode>General</c:formatCode>
                <c:ptCount val="1"/>
                <c:pt idx="0">
                  <c:v>20</c:v>
                </c:pt>
              </c:numCache>
            </c:numRef>
          </c:val>
          <c:smooth val="0"/>
          <c:extLst>
            <c:ext xmlns:c16="http://schemas.microsoft.com/office/drawing/2014/chart" uri="{C3380CC4-5D6E-409C-BE32-E72D297353CC}">
              <c16:uniqueId val="{00000002-6223-422C-B587-9391E33F30C9}"/>
            </c:ext>
          </c:extLst>
        </c:ser>
        <c:dLbls>
          <c:showLegendKey val="0"/>
          <c:showVal val="0"/>
          <c:showCatName val="0"/>
          <c:showSerName val="0"/>
          <c:showPercent val="0"/>
          <c:showBubbleSize val="0"/>
        </c:dLbls>
        <c:marker val="1"/>
        <c:smooth val="0"/>
        <c:axId val="53340608"/>
        <c:axId val="991220400"/>
      </c:lineChart>
      <c:catAx>
        <c:axId val="533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220400"/>
        <c:crosses val="autoZero"/>
        <c:auto val="1"/>
        <c:lblAlgn val="ctr"/>
        <c:lblOffset val="100"/>
        <c:noMultiLvlLbl val="0"/>
      </c:catAx>
      <c:valAx>
        <c:axId val="99122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243840</xdr:colOff>
      <xdr:row>0</xdr:row>
      <xdr:rowOff>91440</xdr:rowOff>
    </xdr:from>
    <xdr:to>
      <xdr:col>11</xdr:col>
      <xdr:colOff>426720</xdr:colOff>
      <xdr:row>15</xdr:row>
      <xdr:rowOff>175260</xdr:rowOff>
    </xdr:to>
    <xdr:graphicFrame macro="">
      <xdr:nvGraphicFramePr>
        <xdr:cNvPr id="2" name="Chart 1">
          <a:extLst>
            <a:ext uri="{FF2B5EF4-FFF2-40B4-BE49-F238E27FC236}">
              <a16:creationId xmlns:a16="http://schemas.microsoft.com/office/drawing/2014/main" id="{4ED93F9C-5FD7-D50C-3B0C-669AB2D32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17</xdr:row>
      <xdr:rowOff>91440</xdr:rowOff>
    </xdr:from>
    <xdr:to>
      <xdr:col>12</xdr:col>
      <xdr:colOff>106680</xdr:colOff>
      <xdr:row>33</xdr:row>
      <xdr:rowOff>15240</xdr:rowOff>
    </xdr:to>
    <xdr:graphicFrame macro="">
      <xdr:nvGraphicFramePr>
        <xdr:cNvPr id="3" name="Chart 2">
          <a:extLst>
            <a:ext uri="{FF2B5EF4-FFF2-40B4-BE49-F238E27FC236}">
              <a16:creationId xmlns:a16="http://schemas.microsoft.com/office/drawing/2014/main" id="{BFDA9A39-A083-E95F-9CF6-135667479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175260</xdr:colOff>
      <xdr:row>35</xdr:row>
      <xdr:rowOff>34290</xdr:rowOff>
    </xdr:from>
    <xdr:to>
      <xdr:col>12</xdr:col>
      <xdr:colOff>83820</xdr:colOff>
      <xdr:row>51</xdr:row>
      <xdr:rowOff>38100</xdr:rowOff>
    </xdr:to>
    <xdr:graphicFrame macro="">
      <xdr:nvGraphicFramePr>
        <xdr:cNvPr id="4" name="Chart 3">
          <a:extLst>
            <a:ext uri="{FF2B5EF4-FFF2-40B4-BE49-F238E27FC236}">
              <a16:creationId xmlns:a16="http://schemas.microsoft.com/office/drawing/2014/main" id="{DE7772AD-9E87-4BAD-9271-070020D82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141514</xdr:colOff>
      <xdr:row>6</xdr:row>
      <xdr:rowOff>30479</xdr:rowOff>
    </xdr:from>
    <xdr:to>
      <xdr:col>9</xdr:col>
      <xdr:colOff>272143</xdr:colOff>
      <xdr:row>20</xdr:row>
      <xdr:rowOff>97970</xdr:rowOff>
    </xdr:to>
    <xdr:graphicFrame macro="">
      <xdr:nvGraphicFramePr>
        <xdr:cNvPr id="2" name="Chart 1">
          <a:extLst>
            <a:ext uri="{FF2B5EF4-FFF2-40B4-BE49-F238E27FC236}">
              <a16:creationId xmlns:a16="http://schemas.microsoft.com/office/drawing/2014/main" id="{1C14E15C-49A7-4B5D-8FA9-A62856CAD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193767</xdr:colOff>
      <xdr:row>21</xdr:row>
      <xdr:rowOff>23948</xdr:rowOff>
    </xdr:from>
    <xdr:to>
      <xdr:col>15</xdr:col>
      <xdr:colOff>10886</xdr:colOff>
      <xdr:row>36</xdr:row>
      <xdr:rowOff>152400</xdr:rowOff>
    </xdr:to>
    <xdr:graphicFrame macro="">
      <xdr:nvGraphicFramePr>
        <xdr:cNvPr id="3" name="Chart 2">
          <a:extLst>
            <a:ext uri="{FF2B5EF4-FFF2-40B4-BE49-F238E27FC236}">
              <a16:creationId xmlns:a16="http://schemas.microsoft.com/office/drawing/2014/main" id="{75C068FA-B351-41B4-9A02-E39423698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336368</xdr:colOff>
      <xdr:row>6</xdr:row>
      <xdr:rowOff>52251</xdr:rowOff>
    </xdr:from>
    <xdr:to>
      <xdr:col>15</xdr:col>
      <xdr:colOff>0</xdr:colOff>
      <xdr:row>20</xdr:row>
      <xdr:rowOff>97971</xdr:rowOff>
    </xdr:to>
    <xdr:graphicFrame macro="">
      <xdr:nvGraphicFramePr>
        <xdr:cNvPr id="4" name="Chart 3">
          <a:extLst>
            <a:ext uri="{FF2B5EF4-FFF2-40B4-BE49-F238E27FC236}">
              <a16:creationId xmlns:a16="http://schemas.microsoft.com/office/drawing/2014/main" id="{38F3FF1B-B7ED-4DD5-948D-6305367A7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3266</xdr:colOff>
      <xdr:row>6</xdr:row>
      <xdr:rowOff>3266</xdr:rowOff>
    </xdr:from>
    <xdr:to>
      <xdr:col>3</xdr:col>
      <xdr:colOff>43544</xdr:colOff>
      <xdr:row>10</xdr:row>
      <xdr:rowOff>173084</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0118E25-9F13-49F4-3B55-B2E84CA6C4E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266" y="1113609"/>
              <a:ext cx="1869078" cy="910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10886</xdr:colOff>
      <xdr:row>17</xdr:row>
      <xdr:rowOff>113213</xdr:rowOff>
    </xdr:from>
    <xdr:to>
      <xdr:col>3</xdr:col>
      <xdr:colOff>76200</xdr:colOff>
      <xdr:row>26</xdr:row>
      <xdr:rowOff>174172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E5AFA65-B1AC-26A2-B6D4-3B9E3290BC0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886" y="3259184"/>
              <a:ext cx="1894114" cy="1726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33746</xdr:rowOff>
    </xdr:from>
    <xdr:to>
      <xdr:col>3</xdr:col>
      <xdr:colOff>54429</xdr:colOff>
      <xdr:row>17</xdr:row>
      <xdr:rowOff>43543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BF61D50-7DDF-463B-DF06-000395241D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69375"/>
              <a:ext cx="1883229" cy="1120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109946</xdr:rowOff>
    </xdr:from>
    <xdr:to>
      <xdr:col>3</xdr:col>
      <xdr:colOff>97970</xdr:colOff>
      <xdr:row>36</xdr:row>
      <xdr:rowOff>130629</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97E3546E-AB17-93BC-EE7C-7D2553C5A72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5106489"/>
              <a:ext cx="1926770" cy="1686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5.745518055555" createdVersion="8" refreshedVersion="8" minRefreshableVersion="3" recordCount="1000" xr:uid="{25CB938F-D91A-4DB0-89F5-C5E8C6C209B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68476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24D60C-3635-4993-AD1A-08667642D19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7:D40" firstHeaderRow="1" firstDataRow="2" firstDataCol="1"/>
  <pivotFields count="14">
    <pivotField compact="0" outline="0" showAll="0"/>
    <pivotField compact="0" outline="0" showAll="0">
      <items count="3">
        <item x="0"/>
        <item h="1" x="1"/>
        <item t="default"/>
      </items>
    </pivotField>
    <pivotField compact="0" outline="0" showAll="0"/>
    <pivotField compact="0" numFmtId="165" outline="0" showAll="0"/>
    <pivotField compact="0" outline="0" showAll="0"/>
    <pivotField compact="0" outline="0" showAll="0">
      <items count="6">
        <item h="1" x="0"/>
        <item x="4"/>
        <item h="1" x="2"/>
        <item h="1" x="1"/>
        <item h="1" x="3"/>
        <item t="default"/>
      </items>
    </pivotField>
    <pivotField compact="0" outline="0" showAll="0">
      <items count="6">
        <item h="1" x="1"/>
        <item h="1" x="4"/>
        <item h="1" x="3"/>
        <item x="2"/>
        <item h="1" x="0"/>
        <item t="default"/>
      </items>
    </pivotField>
    <pivotField compact="0" outline="0" showAll="0"/>
    <pivotField compact="0" outline="0" showAll="0"/>
    <pivotField compact="0" outline="0" showAll="0"/>
    <pivotField compact="0" outline="0" showAll="0">
      <items count="4">
        <item h="1" x="0"/>
        <item x="2"/>
        <item h="1"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2">
    <i>
      <x v="1"/>
    </i>
    <i t="grand">
      <x/>
    </i>
  </rowItems>
  <colFields count="1">
    <field x="13"/>
  </colFields>
  <colItems count="3">
    <i>
      <x/>
    </i>
    <i>
      <x v="1"/>
    </i>
    <i t="grand">
      <x/>
    </i>
  </colItems>
  <dataFields count="1">
    <dataField name="Count of Purchased Bike" fld="13" subtotal="count" baseField="0" baseItem="0"/>
  </dataFields>
  <chartFormats count="6">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E35D25-2DCA-4965-9A08-D02CBD92B6B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D7" firstHeaderRow="1" firstDataRow="2" firstDataCol="1"/>
  <pivotFields count="14">
    <pivotField compact="0" outline="0" showAll="0"/>
    <pivotField compact="0" outline="0" subtotalTop="0" showAll="0">
      <items count="3">
        <item x="0"/>
        <item h="1"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h="1" x="0"/>
        <item x="4"/>
        <item h="1" x="2"/>
        <item h="1" x="1"/>
        <item h="1" x="3"/>
        <item t="default"/>
      </items>
    </pivotField>
    <pivotField compact="0" outline="0" showAll="0">
      <items count="6">
        <item h="1" x="1"/>
        <item h="1" x="4"/>
        <item h="1" x="3"/>
        <item x="2"/>
        <item h="1" x="0"/>
        <item t="default"/>
      </items>
    </pivotField>
    <pivotField compact="0" outline="0" showAll="0"/>
    <pivotField compact="0" outline="0" showAll="0"/>
    <pivotField compact="0" outline="0" showAll="0"/>
    <pivotField compact="0" outline="0" showAll="0">
      <items count="4">
        <item h="1" x="0"/>
        <item x="2"/>
        <item h="1"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4">
      <pivotArea outline="0" collapsedLevelsAreSubtotals="1" fieldPosition="0"/>
    </format>
  </format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EBDD99-A5DA-4750-A4AE-F3BA9A04939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20:D25" firstHeaderRow="1" firstDataRow="2" firstDataCol="1"/>
  <pivotFields count="14">
    <pivotField compact="0" outline="0" showAll="0"/>
    <pivotField compact="0" outline="0" subtotalTop="0" showAll="0">
      <items count="3">
        <item x="0"/>
        <item h="1" x="1"/>
        <item t="default"/>
      </items>
    </pivotField>
    <pivotField compact="0" outline="0" showAll="0"/>
    <pivotField compact="0" numFmtId="165" outline="0" showAll="0"/>
    <pivotField compact="0" outline="0" showAll="0"/>
    <pivotField compact="0" outline="0" showAll="0">
      <items count="6">
        <item h="1" x="0"/>
        <item x="4"/>
        <item h="1" x="2"/>
        <item h="1" x="1"/>
        <item h="1" x="3"/>
        <item t="default"/>
      </items>
    </pivotField>
    <pivotField compact="0" outline="0" showAll="0">
      <items count="6">
        <item h="1" x="1"/>
        <item h="1" x="4"/>
        <item h="1" x="3"/>
        <item x="2"/>
        <item h="1" x="0"/>
        <item t="default"/>
      </items>
    </pivotField>
    <pivotField compact="0" outline="0" showAll="0"/>
    <pivotField compact="0" outline="0" showAll="0"/>
    <pivotField axis="axisRow" compact="0" outline="0" showAll="0">
      <items count="7">
        <item x="0"/>
        <item m="1" x="5"/>
        <item x="3"/>
        <item x="1"/>
        <item x="2"/>
        <item x="4"/>
        <item t="default"/>
      </items>
    </pivotField>
    <pivotField compact="0" outline="0" showAll="0">
      <items count="4">
        <item h="1" x="0"/>
        <item x="2"/>
        <item h="1"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4">
    <i>
      <x/>
    </i>
    <i>
      <x v="3"/>
    </i>
    <i>
      <x v="5"/>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C215D91-06DC-4CC5-A3D4-2874E1F5D68A}" sourceName="Marital Status">
  <pivotTables>
    <pivotTable tabId="3" name="PivotTable2"/>
    <pivotTable tabId="3" name="PivotTable1"/>
    <pivotTable tabId="3" name="PivotTable3"/>
  </pivotTables>
  <data>
    <tabular pivotCacheId="156847647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63180CC-E006-4A30-914B-B796AF63F55D}" sourceName="Education">
  <pivotTables>
    <pivotTable tabId="3" name="PivotTable2"/>
    <pivotTable tabId="3" name="PivotTable1"/>
    <pivotTable tabId="3" name="PivotTable3"/>
  </pivotTables>
  <data>
    <tabular pivotCacheId="1568476470">
      <items count="5">
        <i x="0"/>
        <i x="4" s="1"/>
        <i x="2"/>
        <i x="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C5A188-CB5A-49E2-989D-0985131F2611}" sourceName="Region">
  <pivotTables>
    <pivotTable tabId="3" name="PivotTable2"/>
    <pivotTable tabId="3" name="PivotTable1"/>
    <pivotTable tabId="3" name="PivotTable3"/>
  </pivotTables>
  <data>
    <tabular pivotCacheId="1568476470">
      <items count="3">
        <i x="2" s="1"/>
        <i x="0" nd="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BCA0D9A-BFB7-4DD6-ACE0-F0A52881EDEF}" sourceName="Occupation">
  <pivotTables>
    <pivotTable tabId="3" name="PivotTable2"/>
    <pivotTable tabId="3" name="PivotTable1"/>
    <pivotTable tabId="3" name="PivotTable3"/>
  </pivotTables>
  <data>
    <tabular pivotCacheId="1568476470">
      <items count="5">
        <i x="4"/>
        <i x="2" s="1"/>
        <i x="0"/>
        <i x="1"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BDEF9A4-DD8D-4878-B831-BDAB0825894E}" cache="Slicer_Marital_Status" caption="Marital Status" rowHeight="234950"/>
  <slicer name="Education" xr10:uid="{4DBBB165-4154-4904-9539-628D68366BF6}" cache="Slicer_Education" caption="Education" rowHeight="234950"/>
  <slicer name="Region" xr10:uid="{6968E770-6254-463C-8C8F-07DB3CE0132F}" cache="Slicer_Region" caption="Region" rowHeight="234950"/>
  <slicer name="Occupation" xr10:uid="{293A6851-E153-4B51-8EAA-F07726D13F2B}" cache="Slicer_Occupation" caption="Occup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8" sqref="B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4080-0261-4FBB-9E5D-3F37D43F962D}">
  <dimension ref="A1:N1001"/>
  <sheetViews>
    <sheetView topLeftCell="B67" workbookViewId="0">
      <selection activeCell="J23" sqref="J23"/>
    </sheetView>
  </sheetViews>
  <sheetFormatPr defaultColWidth="11.88671875" defaultRowHeight="14.4" x14ac:dyDescent="0.3"/>
  <cols>
    <col min="4" max="4" width="11.88671875" style="3"/>
    <col min="8" max="8" width="14" bestFit="1" customWidth="1"/>
    <col min="9" max="9" width="6.77734375" bestFit="1" customWidth="1"/>
    <col min="10" max="10" width="18.7773437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Age",IF(L2&gt;=31,"Middle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Age",IF(L3&gt;=31,"Middle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 Age</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 Age</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44</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Age</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44</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Age</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Age</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Age</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Age</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Age</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Age</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44</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Age</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Age</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44</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Age</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44</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Age",IF(L67&gt;=31,"Middle Age",IF(L67&lt;31,"Adolescent","Invalid")))</f>
        <v>Old Age</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44</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Age</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44</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Age</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 Age</v>
      </c>
      <c r="N96" t="s">
        <v>18</v>
      </c>
    </row>
    <row r="97" spans="1:14" x14ac:dyDescent="0.3">
      <c r="A97">
        <v>17197</v>
      </c>
      <c r="B97" t="s">
        <v>37</v>
      </c>
      <c r="C97" t="s">
        <v>39</v>
      </c>
      <c r="D97" s="3">
        <v>90000</v>
      </c>
      <c r="E97">
        <v>5</v>
      </c>
      <c r="F97" t="s">
        <v>19</v>
      </c>
      <c r="G97" t="s">
        <v>21</v>
      </c>
      <c r="H97" t="s">
        <v>15</v>
      </c>
      <c r="I97">
        <v>2</v>
      </c>
      <c r="J97" t="s">
        <v>44</v>
      </c>
      <c r="K97" t="s">
        <v>17</v>
      </c>
      <c r="L97">
        <v>62</v>
      </c>
      <c r="M97" t="str">
        <f t="shared" si="1"/>
        <v>Old Age</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Age</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Age</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44</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Age</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Age",IF(L131&gt;=31,"Middle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Age</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Age</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Age</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44</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Age</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Age</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44</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Age</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Age</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44</v>
      </c>
      <c r="K180" t="s">
        <v>17</v>
      </c>
      <c r="L180">
        <v>55</v>
      </c>
      <c r="M180" t="str">
        <f t="shared" si="2"/>
        <v>Old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Age</v>
      </c>
      <c r="N185" t="s">
        <v>15</v>
      </c>
    </row>
    <row r="186" spans="1:14" x14ac:dyDescent="0.3">
      <c r="A186">
        <v>28918</v>
      </c>
      <c r="B186" t="s">
        <v>36</v>
      </c>
      <c r="C186" t="s">
        <v>39</v>
      </c>
      <c r="D186" s="3">
        <v>130000</v>
      </c>
      <c r="E186">
        <v>4</v>
      </c>
      <c r="F186" t="s">
        <v>27</v>
      </c>
      <c r="G186" t="s">
        <v>28</v>
      </c>
      <c r="H186" t="s">
        <v>18</v>
      </c>
      <c r="I186">
        <v>4</v>
      </c>
      <c r="J186" t="s">
        <v>44</v>
      </c>
      <c r="K186" t="s">
        <v>17</v>
      </c>
      <c r="L186">
        <v>58</v>
      </c>
      <c r="M186" t="str">
        <f t="shared" si="2"/>
        <v>Old Age</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Age</v>
      </c>
      <c r="N188" t="s">
        <v>15</v>
      </c>
    </row>
    <row r="189" spans="1:14" x14ac:dyDescent="0.3">
      <c r="A189">
        <v>18151</v>
      </c>
      <c r="B189" t="s">
        <v>37</v>
      </c>
      <c r="C189" t="s">
        <v>38</v>
      </c>
      <c r="D189" s="3">
        <v>80000</v>
      </c>
      <c r="E189">
        <v>5</v>
      </c>
      <c r="F189" t="s">
        <v>19</v>
      </c>
      <c r="G189" t="s">
        <v>21</v>
      </c>
      <c r="H189" t="s">
        <v>18</v>
      </c>
      <c r="I189">
        <v>2</v>
      </c>
      <c r="J189" t="s">
        <v>44</v>
      </c>
      <c r="K189" t="s">
        <v>17</v>
      </c>
      <c r="L189">
        <v>59</v>
      </c>
      <c r="M189" t="str">
        <f t="shared" si="2"/>
        <v>Old Age</v>
      </c>
      <c r="N189" t="s">
        <v>18</v>
      </c>
    </row>
    <row r="190" spans="1:14" x14ac:dyDescent="0.3">
      <c r="A190">
        <v>20606</v>
      </c>
      <c r="B190" t="s">
        <v>36</v>
      </c>
      <c r="C190" t="s">
        <v>39</v>
      </c>
      <c r="D190" s="3">
        <v>70000</v>
      </c>
      <c r="E190">
        <v>0</v>
      </c>
      <c r="F190" t="s">
        <v>13</v>
      </c>
      <c r="G190" t="s">
        <v>21</v>
      </c>
      <c r="H190" t="s">
        <v>15</v>
      </c>
      <c r="I190">
        <v>4</v>
      </c>
      <c r="J190" t="s">
        <v>44</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44</v>
      </c>
      <c r="K194" t="s">
        <v>17</v>
      </c>
      <c r="L194">
        <v>62</v>
      </c>
      <c r="M194" t="str">
        <f t="shared" si="2"/>
        <v>Old Age</v>
      </c>
      <c r="N194" t="s">
        <v>18</v>
      </c>
    </row>
    <row r="195" spans="1:14" x14ac:dyDescent="0.3">
      <c r="A195">
        <v>26032</v>
      </c>
      <c r="B195" t="s">
        <v>36</v>
      </c>
      <c r="C195" t="s">
        <v>39</v>
      </c>
      <c r="D195" s="3">
        <v>70000</v>
      </c>
      <c r="E195">
        <v>5</v>
      </c>
      <c r="F195" t="s">
        <v>13</v>
      </c>
      <c r="G195" t="s">
        <v>21</v>
      </c>
      <c r="H195" t="s">
        <v>15</v>
      </c>
      <c r="I195">
        <v>4</v>
      </c>
      <c r="J195" t="s">
        <v>44</v>
      </c>
      <c r="K195" t="s">
        <v>24</v>
      </c>
      <c r="L195">
        <v>41</v>
      </c>
      <c r="M195" t="str">
        <f t="shared" ref="M195:M258" si="3">IF(L195&gt;54,"Old Age",IF(L195&gt;=31,"Middle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Age</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44</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44</v>
      </c>
      <c r="K208" t="s">
        <v>17</v>
      </c>
      <c r="L208">
        <v>62</v>
      </c>
      <c r="M208" t="str">
        <f t="shared" si="3"/>
        <v>Old Age</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44</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Age</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44</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Age</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44</v>
      </c>
      <c r="K231" t="s">
        <v>17</v>
      </c>
      <c r="L231">
        <v>57</v>
      </c>
      <c r="M231" t="str">
        <f t="shared" si="3"/>
        <v>Old Age</v>
      </c>
      <c r="N231" t="s">
        <v>18</v>
      </c>
    </row>
    <row r="232" spans="1:14" x14ac:dyDescent="0.3">
      <c r="A232">
        <v>22830</v>
      </c>
      <c r="B232" t="s">
        <v>36</v>
      </c>
      <c r="C232" t="s">
        <v>38</v>
      </c>
      <c r="D232" s="3">
        <v>120000</v>
      </c>
      <c r="E232">
        <v>4</v>
      </c>
      <c r="F232" t="s">
        <v>19</v>
      </c>
      <c r="G232" t="s">
        <v>28</v>
      </c>
      <c r="H232" t="s">
        <v>15</v>
      </c>
      <c r="I232">
        <v>3</v>
      </c>
      <c r="J232" t="s">
        <v>44</v>
      </c>
      <c r="K232" t="s">
        <v>17</v>
      </c>
      <c r="L232">
        <v>56</v>
      </c>
      <c r="M232" t="str">
        <f t="shared" si="3"/>
        <v>Old Age</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44</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Age</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44</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44</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Age</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Age</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44</v>
      </c>
      <c r="K255" t="s">
        <v>17</v>
      </c>
      <c r="L255">
        <v>59</v>
      </c>
      <c r="M255" t="str">
        <f t="shared" si="3"/>
        <v>Old Age</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Age</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Age",IF(L259&gt;=31,"Middle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44</v>
      </c>
      <c r="K260" t="s">
        <v>17</v>
      </c>
      <c r="L260">
        <v>56</v>
      </c>
      <c r="M260" t="str">
        <f t="shared" si="4"/>
        <v>Old Age</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44</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44</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44</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Age</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Age</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Age</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Age</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Age</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Age</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Age</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44</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Age",IF(L323&gt;=31,"Middle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44</v>
      </c>
      <c r="K331" t="s">
        <v>17</v>
      </c>
      <c r="L331">
        <v>59</v>
      </c>
      <c r="M331" t="str">
        <f t="shared" si="5"/>
        <v>Old Age</v>
      </c>
      <c r="N331" t="s">
        <v>18</v>
      </c>
    </row>
    <row r="332" spans="1:14" x14ac:dyDescent="0.3">
      <c r="A332">
        <v>24898</v>
      </c>
      <c r="B332" t="s">
        <v>37</v>
      </c>
      <c r="C332" t="s">
        <v>39</v>
      </c>
      <c r="D332" s="3">
        <v>80000</v>
      </c>
      <c r="E332">
        <v>0</v>
      </c>
      <c r="F332" t="s">
        <v>13</v>
      </c>
      <c r="G332" t="s">
        <v>21</v>
      </c>
      <c r="H332" t="s">
        <v>15</v>
      </c>
      <c r="I332">
        <v>3</v>
      </c>
      <c r="J332" t="s">
        <v>44</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Age</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44</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Age</v>
      </c>
      <c r="N360" t="s">
        <v>15</v>
      </c>
    </row>
    <row r="361" spans="1:14" x14ac:dyDescent="0.3">
      <c r="A361">
        <v>17230</v>
      </c>
      <c r="B361" t="s">
        <v>36</v>
      </c>
      <c r="C361" t="s">
        <v>38</v>
      </c>
      <c r="D361" s="3">
        <v>80000</v>
      </c>
      <c r="E361">
        <v>0</v>
      </c>
      <c r="F361" t="s">
        <v>13</v>
      </c>
      <c r="G361" t="s">
        <v>21</v>
      </c>
      <c r="H361" t="s">
        <v>15</v>
      </c>
      <c r="I361">
        <v>3</v>
      </c>
      <c r="J361" t="s">
        <v>44</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Age</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Age</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44</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Age</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Age</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Age</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44</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Age</v>
      </c>
      <c r="N383" t="s">
        <v>18</v>
      </c>
    </row>
    <row r="384" spans="1:14" x14ac:dyDescent="0.3">
      <c r="A384">
        <v>13586</v>
      </c>
      <c r="B384" t="s">
        <v>36</v>
      </c>
      <c r="C384" t="s">
        <v>38</v>
      </c>
      <c r="D384" s="3">
        <v>80000</v>
      </c>
      <c r="E384">
        <v>4</v>
      </c>
      <c r="F384" t="s">
        <v>19</v>
      </c>
      <c r="G384" t="s">
        <v>21</v>
      </c>
      <c r="H384" t="s">
        <v>15</v>
      </c>
      <c r="I384">
        <v>2</v>
      </c>
      <c r="J384" t="s">
        <v>44</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Age",IF(L387&gt;=31,"Middle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44</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Age</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Age</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44</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Age</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Age</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Age</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44</v>
      </c>
      <c r="K422" t="s">
        <v>17</v>
      </c>
      <c r="L422">
        <v>59</v>
      </c>
      <c r="M422" t="str">
        <f t="shared" si="6"/>
        <v>Old Age</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44</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Age</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44</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Age</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44</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44</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Age",IF(L451&gt;=31,"Middle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Age</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Age</v>
      </c>
      <c r="N459" t="s">
        <v>18</v>
      </c>
    </row>
    <row r="460" spans="1:14" x14ac:dyDescent="0.3">
      <c r="A460">
        <v>21560</v>
      </c>
      <c r="B460" t="s">
        <v>36</v>
      </c>
      <c r="C460" t="s">
        <v>38</v>
      </c>
      <c r="D460" s="3">
        <v>120000</v>
      </c>
      <c r="E460">
        <v>0</v>
      </c>
      <c r="F460" t="s">
        <v>29</v>
      </c>
      <c r="G460" t="s">
        <v>21</v>
      </c>
      <c r="H460" t="s">
        <v>15</v>
      </c>
      <c r="I460">
        <v>4</v>
      </c>
      <c r="J460" t="s">
        <v>44</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44</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Age</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Age</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Age</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Age</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44</v>
      </c>
      <c r="K488" t="s">
        <v>17</v>
      </c>
      <c r="L488">
        <v>58</v>
      </c>
      <c r="M488" t="str">
        <f t="shared" si="7"/>
        <v>Old Age</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44</v>
      </c>
      <c r="K495" t="s">
        <v>32</v>
      </c>
      <c r="L495">
        <v>60</v>
      </c>
      <c r="M495" t="str">
        <f t="shared" si="7"/>
        <v>Old Age</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44</v>
      </c>
      <c r="K497" t="s">
        <v>32</v>
      </c>
      <c r="L497">
        <v>56</v>
      </c>
      <c r="M497" t="str">
        <f t="shared" si="7"/>
        <v>Old Age</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Age</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44</v>
      </c>
      <c r="K515" t="s">
        <v>32</v>
      </c>
      <c r="L515">
        <v>61</v>
      </c>
      <c r="M515" t="str">
        <f t="shared" ref="M515:M578" si="8">IF(L515&gt;54,"Old Age",IF(L515&gt;=31,"Middle Age",IF(L515&lt;31,"Adolescent","Invalid")))</f>
        <v>Old Age</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Age</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44</v>
      </c>
      <c r="K523" t="s">
        <v>32</v>
      </c>
      <c r="L523">
        <v>62</v>
      </c>
      <c r="M523" t="str">
        <f t="shared" si="8"/>
        <v>Old Age</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Age</v>
      </c>
      <c r="N526" t="s">
        <v>18</v>
      </c>
    </row>
    <row r="527" spans="1:14" x14ac:dyDescent="0.3">
      <c r="A527">
        <v>16791</v>
      </c>
      <c r="B527" t="s">
        <v>37</v>
      </c>
      <c r="C527" t="s">
        <v>38</v>
      </c>
      <c r="D527" s="3">
        <v>60000</v>
      </c>
      <c r="E527">
        <v>5</v>
      </c>
      <c r="F527" t="s">
        <v>13</v>
      </c>
      <c r="G527" t="s">
        <v>28</v>
      </c>
      <c r="H527" t="s">
        <v>15</v>
      </c>
      <c r="I527">
        <v>3</v>
      </c>
      <c r="J527" t="s">
        <v>44</v>
      </c>
      <c r="K527" t="s">
        <v>32</v>
      </c>
      <c r="L527">
        <v>59</v>
      </c>
      <c r="M527" t="str">
        <f t="shared" si="8"/>
        <v>Old Age</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44</v>
      </c>
      <c r="K531" t="s">
        <v>32</v>
      </c>
      <c r="L531">
        <v>57</v>
      </c>
      <c r="M531" t="str">
        <f t="shared" si="8"/>
        <v>Old Age</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44</v>
      </c>
      <c r="K535" t="s">
        <v>32</v>
      </c>
      <c r="L535">
        <v>66</v>
      </c>
      <c r="M535" t="str">
        <f t="shared" si="8"/>
        <v>Old Age</v>
      </c>
      <c r="N535" t="s">
        <v>18</v>
      </c>
    </row>
    <row r="536" spans="1:14" x14ac:dyDescent="0.3">
      <c r="A536">
        <v>24637</v>
      </c>
      <c r="B536" t="s">
        <v>36</v>
      </c>
      <c r="C536" t="s">
        <v>38</v>
      </c>
      <c r="D536" s="3">
        <v>40000</v>
      </c>
      <c r="E536">
        <v>4</v>
      </c>
      <c r="F536" t="s">
        <v>27</v>
      </c>
      <c r="G536" t="s">
        <v>21</v>
      </c>
      <c r="H536" t="s">
        <v>15</v>
      </c>
      <c r="I536">
        <v>2</v>
      </c>
      <c r="J536" t="s">
        <v>44</v>
      </c>
      <c r="K536" t="s">
        <v>32</v>
      </c>
      <c r="L536">
        <v>64</v>
      </c>
      <c r="M536" t="str">
        <f t="shared" si="8"/>
        <v>Old Age</v>
      </c>
      <c r="N536" t="s">
        <v>18</v>
      </c>
    </row>
    <row r="537" spans="1:14" x14ac:dyDescent="0.3">
      <c r="A537">
        <v>23893</v>
      </c>
      <c r="B537" t="s">
        <v>36</v>
      </c>
      <c r="C537" t="s">
        <v>38</v>
      </c>
      <c r="D537" s="3">
        <v>50000</v>
      </c>
      <c r="E537">
        <v>3</v>
      </c>
      <c r="F537" t="s">
        <v>13</v>
      </c>
      <c r="G537" t="s">
        <v>14</v>
      </c>
      <c r="H537" t="s">
        <v>15</v>
      </c>
      <c r="I537">
        <v>3</v>
      </c>
      <c r="J537" t="s">
        <v>44</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44</v>
      </c>
      <c r="K553" t="s">
        <v>32</v>
      </c>
      <c r="L553">
        <v>63</v>
      </c>
      <c r="M553" t="str">
        <f t="shared" si="8"/>
        <v>Old Age</v>
      </c>
      <c r="N553" t="s">
        <v>18</v>
      </c>
    </row>
    <row r="554" spans="1:14" x14ac:dyDescent="0.3">
      <c r="A554">
        <v>14417</v>
      </c>
      <c r="B554" t="s">
        <v>37</v>
      </c>
      <c r="C554" t="s">
        <v>38</v>
      </c>
      <c r="D554" s="3">
        <v>60000</v>
      </c>
      <c r="E554">
        <v>3</v>
      </c>
      <c r="F554" t="s">
        <v>27</v>
      </c>
      <c r="G554" t="s">
        <v>21</v>
      </c>
      <c r="H554" t="s">
        <v>15</v>
      </c>
      <c r="I554">
        <v>2</v>
      </c>
      <c r="J554" t="s">
        <v>44</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Age</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44</v>
      </c>
      <c r="K561" t="s">
        <v>32</v>
      </c>
      <c r="L561">
        <v>58</v>
      </c>
      <c r="M561" t="str">
        <f t="shared" si="8"/>
        <v>Old Age</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Age</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44</v>
      </c>
      <c r="K571" t="s">
        <v>32</v>
      </c>
      <c r="L571">
        <v>69</v>
      </c>
      <c r="M571" t="str">
        <f t="shared" si="8"/>
        <v>Old Age</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Age</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44</v>
      </c>
      <c r="K577" t="s">
        <v>32</v>
      </c>
      <c r="L577">
        <v>56</v>
      </c>
      <c r="M577" t="str">
        <f t="shared" si="8"/>
        <v>Old Age</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Age",IF(L579&gt;=31,"Middle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Age</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44</v>
      </c>
      <c r="K582" t="s">
        <v>32</v>
      </c>
      <c r="L582">
        <v>69</v>
      </c>
      <c r="M582" t="str">
        <f t="shared" si="9"/>
        <v>Old Age</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44</v>
      </c>
      <c r="K585" t="s">
        <v>32</v>
      </c>
      <c r="L585">
        <v>66</v>
      </c>
      <c r="M585" t="str">
        <f t="shared" si="9"/>
        <v>Old Age</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44</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44</v>
      </c>
      <c r="K591" t="s">
        <v>32</v>
      </c>
      <c r="L591">
        <v>57</v>
      </c>
      <c r="M591" t="str">
        <f t="shared" si="9"/>
        <v>Old Age</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44</v>
      </c>
      <c r="K593" t="s">
        <v>32</v>
      </c>
      <c r="L593">
        <v>61</v>
      </c>
      <c r="M593" t="str">
        <f t="shared" si="9"/>
        <v>Old Age</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Age</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Age</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Age</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Age</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44</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Age</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Age</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Age</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Age</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Age</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Age</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Age</v>
      </c>
      <c r="N642" t="s">
        <v>15</v>
      </c>
    </row>
    <row r="643" spans="1:14" x14ac:dyDescent="0.3">
      <c r="A643">
        <v>21441</v>
      </c>
      <c r="B643" t="s">
        <v>36</v>
      </c>
      <c r="C643" t="s">
        <v>38</v>
      </c>
      <c r="D643" s="3">
        <v>50000</v>
      </c>
      <c r="E643">
        <v>4</v>
      </c>
      <c r="F643" t="s">
        <v>13</v>
      </c>
      <c r="G643" t="s">
        <v>28</v>
      </c>
      <c r="H643" t="s">
        <v>15</v>
      </c>
      <c r="I643">
        <v>2</v>
      </c>
      <c r="J643" t="s">
        <v>44</v>
      </c>
      <c r="K643" t="s">
        <v>32</v>
      </c>
      <c r="L643">
        <v>64</v>
      </c>
      <c r="M643" t="str">
        <f t="shared" ref="M643:M706" si="10">IF(L643&gt;54,"Old Age",IF(L643&gt;=31,"Middle Age",IF(L643&lt;31,"Adolescent","Invalid")))</f>
        <v>Old Age</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44</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Age</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44</v>
      </c>
      <c r="K652" t="s">
        <v>32</v>
      </c>
      <c r="L652">
        <v>67</v>
      </c>
      <c r="M652" t="str">
        <f t="shared" si="10"/>
        <v>Old Age</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44</v>
      </c>
      <c r="K661" t="s">
        <v>32</v>
      </c>
      <c r="L661">
        <v>63</v>
      </c>
      <c r="M661" t="str">
        <f t="shared" si="10"/>
        <v>Old Age</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44</v>
      </c>
      <c r="K669" t="s">
        <v>32</v>
      </c>
      <c r="L669">
        <v>61</v>
      </c>
      <c r="M669" t="str">
        <f t="shared" si="10"/>
        <v>Old Age</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44</v>
      </c>
      <c r="K672" t="s">
        <v>32</v>
      </c>
      <c r="L672">
        <v>59</v>
      </c>
      <c r="M672" t="str">
        <f t="shared" si="10"/>
        <v>Old Age</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Age</v>
      </c>
      <c r="N680" t="s">
        <v>18</v>
      </c>
    </row>
    <row r="681" spans="1:14" x14ac:dyDescent="0.3">
      <c r="A681">
        <v>21770</v>
      </c>
      <c r="B681" t="s">
        <v>36</v>
      </c>
      <c r="C681" t="s">
        <v>38</v>
      </c>
      <c r="D681" s="3">
        <v>60000</v>
      </c>
      <c r="E681">
        <v>4</v>
      </c>
      <c r="F681" t="s">
        <v>13</v>
      </c>
      <c r="G681" t="s">
        <v>28</v>
      </c>
      <c r="H681" t="s">
        <v>15</v>
      </c>
      <c r="I681">
        <v>2</v>
      </c>
      <c r="J681" t="s">
        <v>44</v>
      </c>
      <c r="K681" t="s">
        <v>32</v>
      </c>
      <c r="L681">
        <v>60</v>
      </c>
      <c r="M681" t="str">
        <f t="shared" si="10"/>
        <v>Old Age</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Age</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44</v>
      </c>
      <c r="K707" t="s">
        <v>32</v>
      </c>
      <c r="L707">
        <v>59</v>
      </c>
      <c r="M707" t="str">
        <f t="shared" ref="M707:M770" si="11">IF(L707&gt;54,"Old Age",IF(L707&gt;=31,"Middle Age",IF(L707&lt;31,"Adolescent","Invalid")))</f>
        <v>Old Age</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44</v>
      </c>
      <c r="K710" t="s">
        <v>32</v>
      </c>
      <c r="L710">
        <v>60</v>
      </c>
      <c r="M710" t="str">
        <f t="shared" si="11"/>
        <v>Old Age</v>
      </c>
      <c r="N710" t="s">
        <v>18</v>
      </c>
    </row>
    <row r="711" spans="1:14" x14ac:dyDescent="0.3">
      <c r="A711">
        <v>23712</v>
      </c>
      <c r="B711" t="s">
        <v>37</v>
      </c>
      <c r="C711" t="s">
        <v>39</v>
      </c>
      <c r="D711" s="3">
        <v>70000</v>
      </c>
      <c r="E711">
        <v>2</v>
      </c>
      <c r="F711" t="s">
        <v>13</v>
      </c>
      <c r="G711" t="s">
        <v>28</v>
      </c>
      <c r="H711" t="s">
        <v>15</v>
      </c>
      <c r="I711">
        <v>1</v>
      </c>
      <c r="J711" t="s">
        <v>44</v>
      </c>
      <c r="K711" t="s">
        <v>32</v>
      </c>
      <c r="L711">
        <v>59</v>
      </c>
      <c r="M711" t="str">
        <f t="shared" si="11"/>
        <v>Old Age</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44</v>
      </c>
      <c r="K713" t="s">
        <v>32</v>
      </c>
      <c r="L713">
        <v>58</v>
      </c>
      <c r="M713" t="str">
        <f t="shared" si="11"/>
        <v>Old Age</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Age</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Age</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44</v>
      </c>
      <c r="K741" t="s">
        <v>32</v>
      </c>
      <c r="L741">
        <v>55</v>
      </c>
      <c r="M741" t="str">
        <f t="shared" si="11"/>
        <v>Old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44</v>
      </c>
      <c r="K746" t="s">
        <v>32</v>
      </c>
      <c r="L746">
        <v>56</v>
      </c>
      <c r="M746" t="str">
        <f t="shared" si="11"/>
        <v>Old Age</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44</v>
      </c>
      <c r="K748" t="s">
        <v>32</v>
      </c>
      <c r="L748">
        <v>56</v>
      </c>
      <c r="M748" t="str">
        <f t="shared" si="11"/>
        <v>Old Age</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Age</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Age</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Age</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44</v>
      </c>
      <c r="K763" t="s">
        <v>32</v>
      </c>
      <c r="L763">
        <v>59</v>
      </c>
      <c r="M763" t="str">
        <f t="shared" si="11"/>
        <v>Old Age</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44</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Age</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Age",IF(L771&gt;=31,"Middle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44</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Age</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44</v>
      </c>
      <c r="K782" t="s">
        <v>32</v>
      </c>
      <c r="L782">
        <v>55</v>
      </c>
      <c r="M782" t="str">
        <f t="shared" si="12"/>
        <v>Old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Age</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Age</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Age</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Age</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Age</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44</v>
      </c>
      <c r="K814" t="s">
        <v>32</v>
      </c>
      <c r="L814">
        <v>61</v>
      </c>
      <c r="M814" t="str">
        <f t="shared" si="12"/>
        <v>Old Age</v>
      </c>
      <c r="N814" t="s">
        <v>18</v>
      </c>
    </row>
    <row r="815" spans="1:14" x14ac:dyDescent="0.3">
      <c r="A815">
        <v>25899</v>
      </c>
      <c r="B815" t="s">
        <v>36</v>
      </c>
      <c r="C815" t="s">
        <v>39</v>
      </c>
      <c r="D815" s="3">
        <v>70000</v>
      </c>
      <c r="E815">
        <v>2</v>
      </c>
      <c r="F815" t="s">
        <v>27</v>
      </c>
      <c r="G815" t="s">
        <v>21</v>
      </c>
      <c r="H815" t="s">
        <v>15</v>
      </c>
      <c r="I815">
        <v>2</v>
      </c>
      <c r="J815" t="s">
        <v>44</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Age</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Age</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Age",IF(L835&gt;=31,"Middle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44</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Age</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44</v>
      </c>
      <c r="K846" t="s">
        <v>32</v>
      </c>
      <c r="L846">
        <v>60</v>
      </c>
      <c r="M846" t="str">
        <f t="shared" si="13"/>
        <v>Old Age</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Age</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Age</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Age</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44</v>
      </c>
      <c r="K868" t="s">
        <v>32</v>
      </c>
      <c r="L868">
        <v>55</v>
      </c>
      <c r="M868" t="str">
        <f t="shared" si="13"/>
        <v>Old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44</v>
      </c>
      <c r="K870" t="s">
        <v>32</v>
      </c>
      <c r="L870">
        <v>60</v>
      </c>
      <c r="M870" t="str">
        <f t="shared" si="13"/>
        <v>Old Age</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44</v>
      </c>
      <c r="K873" t="s">
        <v>32</v>
      </c>
      <c r="L873">
        <v>55</v>
      </c>
      <c r="M873" t="str">
        <f t="shared" si="13"/>
        <v>Old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Age</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Age</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Age</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Age</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Age</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Age</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Age",IF(L899&gt;=31,"Middle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44</v>
      </c>
      <c r="K900" t="s">
        <v>32</v>
      </c>
      <c r="L900">
        <v>60</v>
      </c>
      <c r="M900" t="str">
        <f t="shared" si="14"/>
        <v>Old Age</v>
      </c>
      <c r="N900" t="s">
        <v>15</v>
      </c>
    </row>
    <row r="901" spans="1:14" x14ac:dyDescent="0.3">
      <c r="A901">
        <v>28192</v>
      </c>
      <c r="B901" t="s">
        <v>36</v>
      </c>
      <c r="C901" t="s">
        <v>39</v>
      </c>
      <c r="D901" s="3">
        <v>70000</v>
      </c>
      <c r="E901">
        <v>5</v>
      </c>
      <c r="F901" t="s">
        <v>31</v>
      </c>
      <c r="G901" t="s">
        <v>21</v>
      </c>
      <c r="H901" t="s">
        <v>15</v>
      </c>
      <c r="I901">
        <v>3</v>
      </c>
      <c r="J901" t="s">
        <v>44</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Age</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44</v>
      </c>
      <c r="K909" t="s">
        <v>32</v>
      </c>
      <c r="L909">
        <v>63</v>
      </c>
      <c r="M909" t="str">
        <f t="shared" si="14"/>
        <v>Old Age</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Age</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44</v>
      </c>
      <c r="K917" t="s">
        <v>32</v>
      </c>
      <c r="L917">
        <v>64</v>
      </c>
      <c r="M917" t="str">
        <f t="shared" si="14"/>
        <v>Old Age</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44</v>
      </c>
      <c r="K921" t="s">
        <v>32</v>
      </c>
      <c r="L921">
        <v>61</v>
      </c>
      <c r="M921" t="str">
        <f t="shared" si="14"/>
        <v>Old Age</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44</v>
      </c>
      <c r="K928" t="s">
        <v>32</v>
      </c>
      <c r="L928">
        <v>57</v>
      </c>
      <c r="M928" t="str">
        <f t="shared" si="14"/>
        <v>Old Age</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44</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Age</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Age</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Age</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44</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Age</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Age",IF(L963&gt;=31,"Middle Age",IF(L963&lt;31,"Adolescent","Invalid")))</f>
        <v>Old Age</v>
      </c>
      <c r="N963" t="s">
        <v>18</v>
      </c>
    </row>
    <row r="964" spans="1:14" x14ac:dyDescent="0.3">
      <c r="A964">
        <v>16813</v>
      </c>
      <c r="B964" t="s">
        <v>36</v>
      </c>
      <c r="C964" t="s">
        <v>38</v>
      </c>
      <c r="D964" s="3">
        <v>60000</v>
      </c>
      <c r="E964">
        <v>2</v>
      </c>
      <c r="F964" t="s">
        <v>19</v>
      </c>
      <c r="G964" t="s">
        <v>21</v>
      </c>
      <c r="H964" t="s">
        <v>15</v>
      </c>
      <c r="I964">
        <v>2</v>
      </c>
      <c r="J964" t="s">
        <v>44</v>
      </c>
      <c r="K964" t="s">
        <v>32</v>
      </c>
      <c r="L964">
        <v>55</v>
      </c>
      <c r="M964" t="str">
        <f t="shared" si="15"/>
        <v>Old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Age</v>
      </c>
      <c r="N965" t="s">
        <v>15</v>
      </c>
    </row>
    <row r="966" spans="1:14" x14ac:dyDescent="0.3">
      <c r="A966">
        <v>27434</v>
      </c>
      <c r="B966" t="s">
        <v>37</v>
      </c>
      <c r="C966" t="s">
        <v>38</v>
      </c>
      <c r="D966" s="3">
        <v>70000</v>
      </c>
      <c r="E966">
        <v>4</v>
      </c>
      <c r="F966" t="s">
        <v>19</v>
      </c>
      <c r="G966" t="s">
        <v>21</v>
      </c>
      <c r="H966" t="s">
        <v>15</v>
      </c>
      <c r="I966">
        <v>1</v>
      </c>
      <c r="J966" t="s">
        <v>44</v>
      </c>
      <c r="K966" t="s">
        <v>32</v>
      </c>
      <c r="L966">
        <v>56</v>
      </c>
      <c r="M966" t="str">
        <f t="shared" si="15"/>
        <v>Old Age</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Age</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44</v>
      </c>
      <c r="K978" t="s">
        <v>32</v>
      </c>
      <c r="L978">
        <v>66</v>
      </c>
      <c r="M978" t="str">
        <f t="shared" si="15"/>
        <v>Old Age</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Age</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44</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44</v>
      </c>
      <c r="K988" t="s">
        <v>32</v>
      </c>
      <c r="L988">
        <v>60</v>
      </c>
      <c r="M988" t="str">
        <f t="shared" si="15"/>
        <v>Old Age</v>
      </c>
      <c r="N988" t="s">
        <v>15</v>
      </c>
    </row>
    <row r="989" spans="1:14" x14ac:dyDescent="0.3">
      <c r="A989">
        <v>28972</v>
      </c>
      <c r="B989" t="s">
        <v>37</v>
      </c>
      <c r="C989" t="s">
        <v>39</v>
      </c>
      <c r="D989" s="3">
        <v>60000</v>
      </c>
      <c r="E989">
        <v>3</v>
      </c>
      <c r="F989" t="s">
        <v>31</v>
      </c>
      <c r="G989" t="s">
        <v>28</v>
      </c>
      <c r="H989" t="s">
        <v>15</v>
      </c>
      <c r="I989">
        <v>2</v>
      </c>
      <c r="J989" t="s">
        <v>44</v>
      </c>
      <c r="K989" t="s">
        <v>32</v>
      </c>
      <c r="L989">
        <v>66</v>
      </c>
      <c r="M989" t="str">
        <f t="shared" si="15"/>
        <v>Old Age</v>
      </c>
      <c r="N989" t="s">
        <v>18</v>
      </c>
    </row>
    <row r="990" spans="1:14" x14ac:dyDescent="0.3">
      <c r="A990">
        <v>22730</v>
      </c>
      <c r="B990" t="s">
        <v>36</v>
      </c>
      <c r="C990" t="s">
        <v>38</v>
      </c>
      <c r="D990" s="3">
        <v>70000</v>
      </c>
      <c r="E990">
        <v>5</v>
      </c>
      <c r="F990" t="s">
        <v>13</v>
      </c>
      <c r="G990" t="s">
        <v>28</v>
      </c>
      <c r="H990" t="s">
        <v>15</v>
      </c>
      <c r="I990">
        <v>2</v>
      </c>
      <c r="J990" t="s">
        <v>44</v>
      </c>
      <c r="K990" t="s">
        <v>32</v>
      </c>
      <c r="L990">
        <v>63</v>
      </c>
      <c r="M990" t="str">
        <f t="shared" si="15"/>
        <v>Old Age</v>
      </c>
      <c r="N990" t="s">
        <v>18</v>
      </c>
    </row>
    <row r="991" spans="1:14" x14ac:dyDescent="0.3">
      <c r="A991">
        <v>29134</v>
      </c>
      <c r="B991" t="s">
        <v>36</v>
      </c>
      <c r="C991" t="s">
        <v>38</v>
      </c>
      <c r="D991" s="3">
        <v>60000</v>
      </c>
      <c r="E991">
        <v>4</v>
      </c>
      <c r="F991" t="s">
        <v>13</v>
      </c>
      <c r="G991" t="s">
        <v>14</v>
      </c>
      <c r="H991" t="s">
        <v>18</v>
      </c>
      <c r="I991">
        <v>3</v>
      </c>
      <c r="J991" t="s">
        <v>44</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44</v>
      </c>
      <c r="K1001" t="s">
        <v>32</v>
      </c>
      <c r="L1001">
        <v>53</v>
      </c>
      <c r="M1001" t="str">
        <f t="shared" si="15"/>
        <v>Middle Age</v>
      </c>
      <c r="N1001" t="s">
        <v>15</v>
      </c>
    </row>
  </sheetData>
  <autoFilter ref="A1:N1027" xr:uid="{91B14080-0261-4FBB-9E5D-3F37D43F962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97380-2E41-4485-AA64-E4D342A78F4E}">
  <dimension ref="A3:D40"/>
  <sheetViews>
    <sheetView zoomScale="61" zoomScaleNormal="70" workbookViewId="0">
      <selection activeCell="S38" sqref="S38"/>
    </sheetView>
  </sheetViews>
  <sheetFormatPr defaultRowHeight="14.4" x14ac:dyDescent="0.3"/>
  <cols>
    <col min="1" max="1" width="30.109375" bestFit="1" customWidth="1"/>
    <col min="2" max="3" width="23.21875" bestFit="1" customWidth="1"/>
    <col min="4" max="4" width="15" bestFit="1" customWidth="1"/>
  </cols>
  <sheetData>
    <row r="3" spans="1:4" x14ac:dyDescent="0.3">
      <c r="A3" s="4" t="s">
        <v>42</v>
      </c>
      <c r="B3" s="4" t="s">
        <v>12</v>
      </c>
    </row>
    <row r="4" spans="1:4" x14ac:dyDescent="0.3">
      <c r="A4" s="4" t="s">
        <v>2</v>
      </c>
      <c r="B4" t="s">
        <v>18</v>
      </c>
      <c r="C4" t="s">
        <v>15</v>
      </c>
      <c r="D4" t="s">
        <v>41</v>
      </c>
    </row>
    <row r="5" spans="1:4" x14ac:dyDescent="0.3">
      <c r="A5" t="s">
        <v>39</v>
      </c>
      <c r="B5" s="5">
        <v>65714.28571428571</v>
      </c>
      <c r="C5" s="5">
        <v>65000</v>
      </c>
      <c r="D5" s="5">
        <v>65294.117647058825</v>
      </c>
    </row>
    <row r="6" spans="1:4" x14ac:dyDescent="0.3">
      <c r="A6" t="s">
        <v>38</v>
      </c>
      <c r="B6" s="5">
        <v>64000</v>
      </c>
      <c r="C6" s="5">
        <v>71000</v>
      </c>
      <c r="D6" s="5">
        <v>68666.666666666672</v>
      </c>
    </row>
    <row r="7" spans="1:4" x14ac:dyDescent="0.3">
      <c r="A7" t="s">
        <v>41</v>
      </c>
      <c r="B7" s="5">
        <v>65000</v>
      </c>
      <c r="C7" s="5">
        <v>68000</v>
      </c>
      <c r="D7" s="5">
        <v>66875</v>
      </c>
    </row>
    <row r="20" spans="1:4" x14ac:dyDescent="0.3">
      <c r="A20" s="4" t="s">
        <v>43</v>
      </c>
      <c r="B20" s="4" t="s">
        <v>12</v>
      </c>
    </row>
    <row r="21" spans="1:4" x14ac:dyDescent="0.3">
      <c r="A21" s="4" t="s">
        <v>9</v>
      </c>
      <c r="B21" t="s">
        <v>18</v>
      </c>
      <c r="C21" t="s">
        <v>15</v>
      </c>
      <c r="D21" t="s">
        <v>41</v>
      </c>
    </row>
    <row r="22" spans="1:4" x14ac:dyDescent="0.3">
      <c r="A22" t="s">
        <v>16</v>
      </c>
      <c r="B22" s="6">
        <v>7</v>
      </c>
      <c r="C22" s="6">
        <v>9</v>
      </c>
      <c r="D22" s="6">
        <v>16</v>
      </c>
    </row>
    <row r="23" spans="1:4" x14ac:dyDescent="0.3">
      <c r="A23" t="s">
        <v>22</v>
      </c>
      <c r="B23" s="6">
        <v>3</v>
      </c>
      <c r="C23" s="6">
        <v>11</v>
      </c>
      <c r="D23" s="6">
        <v>14</v>
      </c>
    </row>
    <row r="24" spans="1:4" x14ac:dyDescent="0.3">
      <c r="A24" t="s">
        <v>44</v>
      </c>
      <c r="B24" s="6">
        <v>2</v>
      </c>
      <c r="C24" s="6"/>
      <c r="D24" s="6">
        <v>2</v>
      </c>
    </row>
    <row r="25" spans="1:4" x14ac:dyDescent="0.3">
      <c r="A25" t="s">
        <v>41</v>
      </c>
      <c r="B25" s="6">
        <v>12</v>
      </c>
      <c r="C25" s="6">
        <v>20</v>
      </c>
      <c r="D25" s="6">
        <v>32</v>
      </c>
    </row>
    <row r="37" spans="1:4" x14ac:dyDescent="0.3">
      <c r="A37" s="4" t="s">
        <v>43</v>
      </c>
      <c r="B37" s="4" t="s">
        <v>12</v>
      </c>
    </row>
    <row r="38" spans="1:4" x14ac:dyDescent="0.3">
      <c r="A38" s="4" t="s">
        <v>40</v>
      </c>
      <c r="B38" t="s">
        <v>18</v>
      </c>
      <c r="C38" t="s">
        <v>15</v>
      </c>
      <c r="D38" t="s">
        <v>41</v>
      </c>
    </row>
    <row r="39" spans="1:4" x14ac:dyDescent="0.3">
      <c r="A39" t="s">
        <v>45</v>
      </c>
      <c r="B39" s="6">
        <v>12</v>
      </c>
      <c r="C39" s="6">
        <v>20</v>
      </c>
      <c r="D39" s="6">
        <v>32</v>
      </c>
    </row>
    <row r="40" spans="1:4" x14ac:dyDescent="0.3">
      <c r="A40" t="s">
        <v>41</v>
      </c>
      <c r="B40" s="6">
        <v>12</v>
      </c>
      <c r="C40" s="6">
        <v>20</v>
      </c>
      <c r="D40" s="6">
        <v>32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F4B9-575F-401B-A1A4-330543E941CE}">
  <dimension ref="A1:O6"/>
  <sheetViews>
    <sheetView showGridLines="0" tabSelected="1" zoomScale="82" workbookViewId="0">
      <selection activeCell="Q19" sqref="Q19"/>
    </sheetView>
  </sheetViews>
  <sheetFormatPr defaultRowHeight="14.4" x14ac:dyDescent="0.3"/>
  <cols>
    <col min="12" max="12" width="13.6640625" customWidth="1"/>
  </cols>
  <sheetData>
    <row r="1" spans="1:15" ht="14.4" customHeight="1" x14ac:dyDescent="0.3">
      <c r="A1" s="7" t="s">
        <v>46</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kc</cp:lastModifiedBy>
  <dcterms:created xsi:type="dcterms:W3CDTF">2022-03-18T02:50:57Z</dcterms:created>
  <dcterms:modified xsi:type="dcterms:W3CDTF">2026-10-01T15:30:10Z</dcterms:modified>
</cp:coreProperties>
</file>